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rringgroup-my.sharepoint.com/personal/aara1_ferring_com/Documents/"/>
    </mc:Choice>
  </mc:AlternateContent>
  <xr:revisionPtr revIDLastSave="850" documentId="11_71C60C5844AC1FE7351F73B5197FA1F661A23F18" xr6:coauthVersionLast="47" xr6:coauthVersionMax="47" xr10:uidLastSave="{307331F5-F537-4C58-A0C3-516BFF5B1123}"/>
  <bookViews>
    <workbookView xWindow="22932" yWindow="828" windowWidth="23256" windowHeight="12456" xr2:uid="{00000000-000D-0000-FFFF-FFFF00000000}"/>
  </bookViews>
  <sheets>
    <sheet name="2026 Expens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P22" i="1"/>
  <c r="Q22" i="1" s="1"/>
  <c r="P25" i="1"/>
  <c r="Q25" i="1" s="1"/>
  <c r="F28" i="1"/>
  <c r="P15" i="1"/>
  <c r="Q15" i="1" s="1"/>
  <c r="Q24" i="1"/>
  <c r="P12" i="1"/>
  <c r="Q12" i="1" s="1"/>
  <c r="Q13" i="1"/>
  <c r="P14" i="1"/>
  <c r="Q14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3" i="1"/>
  <c r="Q23" i="1" s="1"/>
  <c r="O7" i="1"/>
  <c r="P7" i="1" s="1"/>
  <c r="O9" i="1"/>
  <c r="P9" i="1" s="1"/>
  <c r="O5" i="1"/>
  <c r="P5" i="1" s="1"/>
  <c r="E28" i="1"/>
  <c r="G28" i="1"/>
  <c r="H28" i="1"/>
  <c r="H29" i="1" s="1"/>
  <c r="J28" i="1"/>
  <c r="K28" i="1"/>
  <c r="L28" i="1"/>
  <c r="M28" i="1"/>
  <c r="N28" i="1"/>
  <c r="O28" i="1"/>
  <c r="D28" i="1"/>
  <c r="R25" i="1" l="1"/>
  <c r="R22" i="1"/>
  <c r="R9" i="1"/>
  <c r="L29" i="1"/>
  <c r="Q28" i="1"/>
  <c r="R28" i="1" s="1"/>
  <c r="J29" i="1"/>
  <c r="I29" i="1"/>
  <c r="R24" i="1"/>
  <c r="O29" i="1"/>
  <c r="G29" i="1"/>
  <c r="K29" i="1"/>
  <c r="N29" i="1"/>
  <c r="M29" i="1"/>
  <c r="P28" i="1"/>
  <c r="R20" i="1"/>
  <c r="R14" i="1"/>
  <c r="R23" i="1"/>
  <c r="R16" i="1"/>
  <c r="R17" i="1"/>
  <c r="R18" i="1"/>
  <c r="R13" i="1"/>
  <c r="R12" i="1"/>
  <c r="R19" i="1"/>
  <c r="R21" i="1"/>
  <c r="R1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<sst xmlns="http://schemas.openxmlformats.org/spreadsheetml/2006/main" count="149" uniqueCount="105">
  <si>
    <t>MONTHLY INCOME &amp; SUMMARY</t>
  </si>
  <si>
    <t>Month</t>
  </si>
  <si>
    <t>Salary</t>
  </si>
  <si>
    <t>EXPENSE CATEGORIES - MONTHLY BREAKDOWN</t>
  </si>
  <si>
    <t>Category</t>
  </si>
  <si>
    <t>Home Loan</t>
  </si>
  <si>
    <t>Insurance</t>
  </si>
  <si>
    <t>Groceries</t>
  </si>
  <si>
    <t>Maid</t>
  </si>
  <si>
    <t>Maintenance</t>
  </si>
  <si>
    <t>Car Wash</t>
  </si>
  <si>
    <t>Phone</t>
  </si>
  <si>
    <t>Light Bill</t>
  </si>
  <si>
    <t>Travel</t>
  </si>
  <si>
    <t>Miscellaneous</t>
  </si>
  <si>
    <t>SSY (Savings)</t>
  </si>
  <si>
    <t>TOTAL MONTHLY EXPENSES</t>
  </si>
  <si>
    <t>ANNUAL SUMMARY</t>
  </si>
  <si>
    <t>Total Annual Income</t>
  </si>
  <si>
    <t>Total Annual Expenses</t>
  </si>
  <si>
    <t>Annual Surplus</t>
  </si>
  <si>
    <t>Savings Rate %</t>
  </si>
  <si>
    <t>EXPENSE CATEGORY SUMMARY</t>
  </si>
  <si>
    <t>January</t>
  </si>
  <si>
    <t>Type</t>
  </si>
  <si>
    <t>Monthly</t>
  </si>
  <si>
    <t>Variable</t>
  </si>
  <si>
    <t>151000</t>
  </si>
  <si>
    <t>8667</t>
  </si>
  <si>
    <t>12000</t>
  </si>
  <si>
    <t>12500</t>
  </si>
  <si>
    <t>600</t>
  </si>
  <si>
    <t>1000</t>
  </si>
  <si>
    <t>3500</t>
  </si>
  <si>
    <t>16667</t>
  </si>
  <si>
    <t>10000</t>
  </si>
  <si>
    <t>2928000</t>
  </si>
  <si>
    <t>2885196</t>
  </si>
  <si>
    <t>42804</t>
  </si>
  <si>
    <t>1.46%</t>
  </si>
  <si>
    <t>Annual Amount</t>
  </si>
  <si>
    <t>1812000</t>
  </si>
  <si>
    <t>200004</t>
  </si>
  <si>
    <t>150000</t>
  </si>
  <si>
    <t>144000</t>
  </si>
  <si>
    <t>104004</t>
  </si>
  <si>
    <t>120000</t>
  </si>
  <si>
    <t>42000</t>
  </si>
  <si>
    <t>7200</t>
  </si>
  <si>
    <t>February</t>
  </si>
  <si>
    <t>% of Budget</t>
  </si>
  <si>
    <t>62.70%</t>
  </si>
  <si>
    <t>6.91%</t>
  </si>
  <si>
    <t>5.18%</t>
  </si>
  <si>
    <t>4.98%</t>
  </si>
  <si>
    <t>3.59%</t>
  </si>
  <si>
    <t>4.15%</t>
  </si>
  <si>
    <t>1.45%</t>
  </si>
  <si>
    <t>0.41%</t>
  </si>
  <si>
    <t>0.25%</t>
  </si>
  <si>
    <t>March</t>
  </si>
  <si>
    <t>Monthly Average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</si>
  <si>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</si>
  <si>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</si>
  <si>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</si>
  <si>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</si>
  <si>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</si>
  <si>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</si>
  <si>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</si>
  <si>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</si>
  <si>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</si>
  <si>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</si>
  <si>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AVERAGE</t>
  </si>
  <si>
    <t>AVG/MONTH</t>
  </si>
  <si>
    <t>%AGE</t>
  </si>
  <si>
    <t>2026 ANNUAL EXPENSE TRACKING SHEET - SINGLE VIEW</t>
  </si>
  <si>
    <t>SURPISE EXPENSES</t>
  </si>
  <si>
    <t>Bonus</t>
  </si>
  <si>
    <t>REHA SCHOOL</t>
  </si>
  <si>
    <t>FIXED</t>
  </si>
  <si>
    <t>RAISER</t>
  </si>
  <si>
    <t>TATA</t>
  </si>
  <si>
    <t>ZEPTO</t>
  </si>
  <si>
    <t>TRISHABH</t>
  </si>
  <si>
    <t>SBI</t>
  </si>
  <si>
    <t>VIKAS</t>
  </si>
  <si>
    <t>AIRTEL</t>
  </si>
  <si>
    <t>ADANI</t>
  </si>
  <si>
    <t>LEISURE ACTIVITIES</t>
  </si>
  <si>
    <t>KAMI PADTAY</t>
  </si>
  <si>
    <t>Health insurance</t>
  </si>
  <si>
    <t>RINN</t>
  </si>
  <si>
    <t>TRY TO SAVE</t>
  </si>
  <si>
    <t xml:space="preserve">HOME LOAN </t>
  </si>
  <si>
    <t>ADITYA BIRLA INSURANCE</t>
  </si>
  <si>
    <t>INDIA POST OFFICE</t>
  </si>
  <si>
    <t>SOURCES</t>
  </si>
  <si>
    <t>PETROL</t>
  </si>
  <si>
    <t>KALYANI BONUS</t>
  </si>
  <si>
    <t>Akshatata+Vidya</t>
  </si>
  <si>
    <t>Miscellaneous/PETROL</t>
  </si>
  <si>
    <t>Amsterdam</t>
  </si>
  <si>
    <t>AASHISH BONUS</t>
  </si>
  <si>
    <t>PAPA</t>
  </si>
  <si>
    <t>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</si>
</sst>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Daytona"/>
      <family val="2"/>
    </font>
    <font>
      <b/>
      <sz val="11"/>
      <color theme="0"/>
      <name val="Daytona"/>
      <family val="2"/>
    </font>
    <font>
      <b/>
      <sz val="11"/>
      <color theme="1"/>
      <name val="Daytona"/>
      <family val="2"/>
    </font>
    <font>
      <b/>
      <sz val="11"/>
      <color rgb="FFFF0000"/>
      <name val="Daytona"/>
      <family val="2"/>
    </font>
    <font>
      <sz val="11"/>
      <color rgb="FFFF0000"/>
      <name val="Daytona"/>
      <family val="2"/>
    </font>
    <font>
      <b/>
      <sz val="11"/>
      <color rgb="FF00B050"/>
      <name val="Daytona"/>
      <family val="2"/>
    </font>
    <font>
      <sz val="11"/>
      <color rgb="FF00B050"/>
      <name val="Daytona"/>
      <family val="2"/>
    </font>
    <font>
      <u/>
      <sz val="11"/>
      <color rgb="FF00B050"/>
      <name val="Daytona"/>
      <family val="2"/>
    </font>
    <font>
      <sz val="11"/>
      <color theme="3" tint="0.39997558519241921"/>
      <name val="Daytona"/>
      <family val="2"/>
    </font>
    <font>
      <b/>
      <sz val="11"/>
      <color theme="3" tint="0.39997558519241921"/>
      <name val="Daytona"/>
      <family val="2"/>
    </font>
    <font>
      <sz val="11"/>
      <color rgb="FFC00000"/>
      <name val="Daytona"/>
      <family val="2"/>
    </font>
    <font>
      <sz val="11"/>
      <color rgb="FF7030A0"/>
      <name val="Daytona"/>
      <family val="2"/>
    </font>
    <font>
      <b/>
      <u/>
      <sz val="11"/>
      <color theme="1"/>
      <name val="Daytona"/>
      <family val="2"/>
    </font>
    <font>
      <b/>
      <sz val="14"/>
      <color theme="1"/>
      <name val="Daytona"/>
      <family val="2"/>
    </font>
    <font>
      <u/>
      <sz val="12"/>
      <color rgb="FFFF0000"/>
      <name val="Daytona"/>
      <family val="2"/>
    </font>
    <font>
      <sz val="11"/>
      <name val="Dayton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7"/>
  <sheetViews>
    <sheetView tabSelected="1" topLeftCell="A5" zoomScale="69" zoomScaleNormal="100" workbookViewId="0">
      <selection activeCell="I29" sqref="I29"/>
    </sheetView>
  </sheetViews>
  <sheetFormatPr defaultColWidth="9.140625" defaultRowHeight="17.25" x14ac:dyDescent="0.25"/>
  <cols>
    <col min="1" max="1" width="29.85546875" style="1" bestFit="1" customWidth="1"/>
    <col min="2" max="2" width="31.5703125" style="2" bestFit="1" customWidth="1"/>
    <col min="3" max="3" width="10.140625" style="1" bestFit="1" customWidth="1"/>
    <col min="4" max="4" width="19.140625" style="1" bestFit="1" customWidth="1"/>
    <col min="5" max="5" width="10.85546875" style="1" bestFit="1" customWidth="1"/>
    <col min="6" max="6" width="19.42578125" style="1" bestFit="1" customWidth="1"/>
    <col min="7" max="10" width="10.140625" style="1" bestFit="1" customWidth="1"/>
    <col min="11" max="12" width="13" style="1" bestFit="1" customWidth="1"/>
    <col min="13" max="13" width="16.7109375" style="1" bestFit="1" customWidth="1"/>
    <col min="14" max="15" width="12.28515625" style="1" bestFit="1" customWidth="1"/>
    <col min="16" max="16" width="11.28515625" style="1" bestFit="1" customWidth="1"/>
    <col min="17" max="17" width="15.28515625" style="1" bestFit="1" customWidth="1"/>
    <col min="18" max="18" width="8" style="1" bestFit="1" customWidth="1"/>
    <col min="19" max="98" width="9.140625" style="16"/>
    <col min="99" max="16384" width="9.140625" style="1"/>
  </cols>
  <sheetData>
    <row r="1" spans="1:98" x14ac:dyDescent="0.25">
      <c r="A1" s="39" t="e" vm="1">
        <v>#VALUE!</v>
      </c>
      <c r="B1" s="37" t="s">
        <v>75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98" x14ac:dyDescent="0.25">
      <c r="A2" s="39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98" x14ac:dyDescent="0.25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98" x14ac:dyDescent="0.25">
      <c r="A4" s="39"/>
      <c r="B4" s="6" t="s">
        <v>1</v>
      </c>
      <c r="C4" s="7" t="s">
        <v>23</v>
      </c>
      <c r="D4" s="7" t="s">
        <v>49</v>
      </c>
      <c r="E4" s="7" t="s">
        <v>60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66</v>
      </c>
      <c r="K4" s="7" t="s">
        <v>67</v>
      </c>
      <c r="L4" s="7" t="s">
        <v>68</v>
      </c>
      <c r="M4" s="7" t="s">
        <v>69</v>
      </c>
      <c r="N4" s="7" t="s">
        <v>70</v>
      </c>
      <c r="O4" s="7" t="s">
        <v>71</v>
      </c>
      <c r="P4" s="7" t="s">
        <v>72</v>
      </c>
      <c r="Q4" s="3"/>
      <c r="R4" s="3"/>
    </row>
    <row r="5" spans="1:98" x14ac:dyDescent="0.25">
      <c r="A5" s="39"/>
      <c r="B5" s="4" t="s">
        <v>2</v>
      </c>
      <c r="C5" s="3">
        <v>244000</v>
      </c>
      <c r="D5" s="3">
        <v>260000</v>
      </c>
      <c r="E5" s="3">
        <v>260000</v>
      </c>
      <c r="F5" s="3">
        <v>260000</v>
      </c>
      <c r="G5" s="3">
        <v>260000</v>
      </c>
      <c r="H5" s="3">
        <v>320000</v>
      </c>
      <c r="I5" s="3">
        <v>320000</v>
      </c>
      <c r="J5" s="3">
        <v>320000</v>
      </c>
      <c r="K5" s="3">
        <v>320000</v>
      </c>
      <c r="L5" s="3">
        <v>320000</v>
      </c>
      <c r="M5" s="3">
        <v>320000</v>
      </c>
      <c r="N5" s="3">
        <v>320000</v>
      </c>
      <c r="O5" s="3">
        <f>SUM(C5:N5)</f>
        <v>3524000</v>
      </c>
      <c r="P5" s="8">
        <f>O5/12</f>
        <v>293666.66666666669</v>
      </c>
      <c r="Q5" s="3"/>
      <c r="R5" s="3"/>
    </row>
    <row r="6" spans="1:98" ht="34.5" x14ac:dyDescent="0.25">
      <c r="A6" s="39"/>
      <c r="B6" s="4" t="s">
        <v>96</v>
      </c>
      <c r="C6" s="3"/>
      <c r="D6" s="4" t="s">
        <v>98</v>
      </c>
      <c r="E6" s="3"/>
      <c r="F6" s="4" t="s">
        <v>102</v>
      </c>
      <c r="G6" s="3"/>
      <c r="H6" s="3"/>
      <c r="I6" s="3"/>
      <c r="J6" s="3"/>
      <c r="K6" s="3"/>
      <c r="M6" s="3" t="s">
        <v>78</v>
      </c>
      <c r="N6" s="3" t="s">
        <v>104</v>
      </c>
      <c r="O6" s="3"/>
      <c r="P6" s="8"/>
      <c r="Q6" s="3"/>
      <c r="R6" s="3"/>
    </row>
    <row r="7" spans="1:98" ht="30" customHeight="1" x14ac:dyDescent="0.25">
      <c r="A7" s="39"/>
      <c r="B7" s="9" t="s">
        <v>76</v>
      </c>
      <c r="C7" s="10"/>
      <c r="E7" s="10"/>
      <c r="F7" s="10"/>
      <c r="G7" s="10"/>
      <c r="H7" s="10"/>
      <c r="I7" s="10"/>
      <c r="J7" s="10"/>
      <c r="K7" s="10"/>
      <c r="M7" s="34">
        <v>200000</v>
      </c>
      <c r="N7" s="34">
        <v>90000</v>
      </c>
      <c r="O7" s="34">
        <f>SUM(C7:N7)</f>
        <v>290000</v>
      </c>
      <c r="P7" s="35">
        <f>O7/12</f>
        <v>24166.666666666668</v>
      </c>
    </row>
    <row r="8" spans="1:98" s="12" customFormat="1" ht="25.15" customHeight="1" x14ac:dyDescent="0.25">
      <c r="A8" s="39"/>
      <c r="B8" s="11" t="e" vm="2">
        <v>#VALUE!</v>
      </c>
      <c r="C8" s="5"/>
      <c r="D8" s="5"/>
      <c r="E8" s="5"/>
      <c r="F8" s="5"/>
      <c r="G8" s="5"/>
      <c r="H8" s="5"/>
      <c r="I8" s="5"/>
      <c r="J8" s="5"/>
      <c r="K8" s="5"/>
      <c r="M8" s="5"/>
      <c r="N8" s="5"/>
      <c r="O8" s="5"/>
      <c r="P8" s="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</row>
    <row r="9" spans="1:98" s="12" customFormat="1" ht="18.75" x14ac:dyDescent="0.25">
      <c r="A9" s="39"/>
      <c r="B9" s="11" t="s">
        <v>77</v>
      </c>
      <c r="C9" s="5"/>
      <c r="D9" s="5">
        <v>100000</v>
      </c>
      <c r="E9" s="5"/>
      <c r="F9" s="5">
        <v>60000</v>
      </c>
      <c r="G9" s="5"/>
      <c r="H9" s="5"/>
      <c r="I9" s="5"/>
      <c r="J9" s="5"/>
      <c r="K9" s="5"/>
      <c r="L9" s="5"/>
      <c r="M9" s="5"/>
      <c r="N9" s="5"/>
      <c r="O9" s="5">
        <f>SUM(C9:N9)</f>
        <v>160000</v>
      </c>
      <c r="P9" s="13">
        <f>O9/12</f>
        <v>13333.333333333334</v>
      </c>
      <c r="Q9" s="14" t="s">
        <v>71</v>
      </c>
      <c r="R9" s="15">
        <f>P9-P7</f>
        <v>-10833.333333333334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</row>
    <row r="10" spans="1:98" s="17" customFormat="1" x14ac:dyDescent="0.25">
      <c r="B10" s="38" t="s">
        <v>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</row>
    <row r="11" spans="1:98" x14ac:dyDescent="0.25">
      <c r="B11" s="4" t="s">
        <v>4</v>
      </c>
      <c r="C11" s="3" t="s">
        <v>24</v>
      </c>
      <c r="D11" s="3" t="s">
        <v>23</v>
      </c>
      <c r="E11" s="3" t="s">
        <v>49</v>
      </c>
      <c r="F11" s="3" t="s">
        <v>60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67</v>
      </c>
      <c r="M11" s="3" t="s">
        <v>68</v>
      </c>
      <c r="N11" s="3" t="s">
        <v>69</v>
      </c>
      <c r="O11" s="3" t="s">
        <v>70</v>
      </c>
      <c r="P11" s="3" t="s">
        <v>71</v>
      </c>
      <c r="Q11" s="3" t="s">
        <v>73</v>
      </c>
      <c r="R11" s="3" t="s">
        <v>74</v>
      </c>
    </row>
    <row r="12" spans="1:98" x14ac:dyDescent="0.25">
      <c r="A12" s="18" t="s">
        <v>84</v>
      </c>
      <c r="B12" s="19" t="s">
        <v>5</v>
      </c>
      <c r="C12" s="1" t="s">
        <v>80</v>
      </c>
      <c r="D12" s="20">
        <v>160000</v>
      </c>
      <c r="E12" s="20">
        <v>160000</v>
      </c>
      <c r="F12" s="20">
        <v>160000</v>
      </c>
      <c r="G12" s="20">
        <v>160000</v>
      </c>
      <c r="H12" s="20">
        <v>160000</v>
      </c>
      <c r="I12" s="20">
        <v>160000</v>
      </c>
      <c r="J12" s="20">
        <v>160000</v>
      </c>
      <c r="K12" s="20">
        <v>160000</v>
      </c>
      <c r="L12" s="20">
        <v>160000</v>
      </c>
      <c r="M12" s="20">
        <v>160000</v>
      </c>
      <c r="N12" s="20">
        <v>160000</v>
      </c>
      <c r="O12" s="20">
        <v>160000</v>
      </c>
      <c r="P12" s="20">
        <f t="shared" ref="P12:P23" si="0">SUM(D12:O12)</f>
        <v>1920000</v>
      </c>
      <c r="Q12" s="20">
        <f>P12/12</f>
        <v>160000</v>
      </c>
      <c r="R12" s="21">
        <f>Q12/P5*100</f>
        <v>54.483541430192957</v>
      </c>
    </row>
    <row r="13" spans="1:98" x14ac:dyDescent="0.25">
      <c r="A13" s="18" t="s">
        <v>81</v>
      </c>
      <c r="B13" s="19" t="s">
        <v>6</v>
      </c>
      <c r="C13" s="1" t="s">
        <v>79</v>
      </c>
      <c r="D13" s="20"/>
      <c r="E13" s="20"/>
      <c r="F13" s="20"/>
      <c r="G13" s="20"/>
      <c r="H13" s="22">
        <v>57000</v>
      </c>
      <c r="I13" s="20"/>
      <c r="J13" s="20"/>
      <c r="K13" s="20"/>
      <c r="L13" s="20"/>
      <c r="M13" s="20">
        <v>57000</v>
      </c>
      <c r="N13" s="20"/>
      <c r="O13" s="20"/>
      <c r="P13" s="20"/>
      <c r="Q13" s="20">
        <f t="shared" ref="Q13:Q23" si="1">P13/12</f>
        <v>0</v>
      </c>
      <c r="R13" s="21">
        <f>Q13/P5*100</f>
        <v>0</v>
      </c>
    </row>
    <row r="14" spans="1:98" x14ac:dyDescent="0.25">
      <c r="A14" s="18" t="s">
        <v>82</v>
      </c>
      <c r="B14" s="19" t="s">
        <v>7</v>
      </c>
      <c r="C14" s="1" t="s">
        <v>25</v>
      </c>
      <c r="D14" s="20">
        <v>22000</v>
      </c>
      <c r="E14" s="20">
        <v>22000</v>
      </c>
      <c r="F14" s="20">
        <v>22000</v>
      </c>
      <c r="G14" s="20">
        <v>10000</v>
      </c>
      <c r="H14" s="20">
        <v>10000</v>
      </c>
      <c r="I14" s="20">
        <v>10000</v>
      </c>
      <c r="J14" s="20">
        <v>15000</v>
      </c>
      <c r="K14" s="20">
        <v>15000</v>
      </c>
      <c r="L14" s="20">
        <v>15000</v>
      </c>
      <c r="M14" s="20">
        <v>15000</v>
      </c>
      <c r="N14" s="20">
        <v>15000</v>
      </c>
      <c r="O14" s="20">
        <v>15000</v>
      </c>
      <c r="P14" s="20">
        <f t="shared" si="0"/>
        <v>186000</v>
      </c>
      <c r="Q14" s="20">
        <f t="shared" si="1"/>
        <v>15500</v>
      </c>
      <c r="R14" s="21">
        <f>Q14/P5*100</f>
        <v>5.2780930760499434</v>
      </c>
    </row>
    <row r="15" spans="1:98" x14ac:dyDescent="0.25">
      <c r="A15" s="18" t="s">
        <v>99</v>
      </c>
      <c r="B15" s="19" t="s">
        <v>8</v>
      </c>
      <c r="C15" s="1" t="s">
        <v>25</v>
      </c>
      <c r="D15" s="20">
        <v>12500</v>
      </c>
      <c r="E15" s="20">
        <v>12500</v>
      </c>
      <c r="F15" s="20">
        <v>12500</v>
      </c>
      <c r="G15" s="20">
        <v>15000</v>
      </c>
      <c r="H15" s="20">
        <v>15000</v>
      </c>
      <c r="I15" s="20">
        <v>15000</v>
      </c>
      <c r="J15" s="20">
        <v>15000</v>
      </c>
      <c r="K15" s="20">
        <v>15000</v>
      </c>
      <c r="L15" s="20">
        <v>15000</v>
      </c>
      <c r="M15" s="20">
        <v>15000</v>
      </c>
      <c r="N15" s="20">
        <v>15000</v>
      </c>
      <c r="O15" s="20">
        <v>15000</v>
      </c>
      <c r="P15" s="20">
        <f t="shared" si="0"/>
        <v>172500</v>
      </c>
      <c r="Q15" s="20">
        <f t="shared" si="1"/>
        <v>14375</v>
      </c>
      <c r="R15" s="21">
        <f>Q15/P5*100</f>
        <v>4.8950056753688989</v>
      </c>
    </row>
    <row r="16" spans="1:98" x14ac:dyDescent="0.25">
      <c r="A16" s="18" t="s">
        <v>83</v>
      </c>
      <c r="B16" s="19" t="s">
        <v>9</v>
      </c>
      <c r="C16" s="1" t="s">
        <v>79</v>
      </c>
      <c r="D16" s="20"/>
      <c r="E16" s="20"/>
      <c r="F16" s="20"/>
      <c r="G16" s="20">
        <v>0</v>
      </c>
      <c r="H16" s="20">
        <v>12000</v>
      </c>
      <c r="I16" s="20">
        <v>12000</v>
      </c>
      <c r="J16" s="20">
        <v>20000</v>
      </c>
      <c r="K16" s="20">
        <v>12000</v>
      </c>
      <c r="L16" s="20">
        <v>12000</v>
      </c>
      <c r="M16" s="20">
        <v>20000</v>
      </c>
      <c r="N16" s="20">
        <v>12000</v>
      </c>
      <c r="O16" s="20">
        <v>12000</v>
      </c>
      <c r="P16" s="20">
        <f t="shared" si="0"/>
        <v>112000</v>
      </c>
      <c r="Q16" s="20">
        <f t="shared" si="1"/>
        <v>9333.3333333333339</v>
      </c>
      <c r="R16" s="21">
        <f>Q16/P5*100</f>
        <v>3.1782065834279227</v>
      </c>
    </row>
    <row r="17" spans="1:98" x14ac:dyDescent="0.25">
      <c r="A17" s="18" t="s">
        <v>85</v>
      </c>
      <c r="B17" s="19" t="s">
        <v>10</v>
      </c>
      <c r="C17" s="1" t="s">
        <v>25</v>
      </c>
      <c r="D17" s="20">
        <v>600</v>
      </c>
      <c r="E17" s="20">
        <v>600</v>
      </c>
      <c r="F17" s="20">
        <v>600</v>
      </c>
      <c r="G17" s="20">
        <v>600</v>
      </c>
      <c r="H17" s="22">
        <v>15000</v>
      </c>
      <c r="I17" s="20">
        <v>600</v>
      </c>
      <c r="J17" s="20">
        <v>600</v>
      </c>
      <c r="K17" s="20">
        <v>600</v>
      </c>
      <c r="L17" s="20">
        <v>600</v>
      </c>
      <c r="M17" s="20">
        <v>600</v>
      </c>
      <c r="N17" s="20">
        <v>600</v>
      </c>
      <c r="O17" s="20">
        <v>600</v>
      </c>
      <c r="P17" s="20">
        <f t="shared" si="0"/>
        <v>21600</v>
      </c>
      <c r="Q17" s="20">
        <f t="shared" si="1"/>
        <v>1800</v>
      </c>
      <c r="R17" s="21">
        <f>Q17/P5*100</f>
        <v>0.61293984108967081</v>
      </c>
    </row>
    <row r="18" spans="1:98" x14ac:dyDescent="0.25">
      <c r="A18" s="18" t="s">
        <v>86</v>
      </c>
      <c r="B18" s="19" t="s">
        <v>11</v>
      </c>
      <c r="C18" s="1" t="s">
        <v>25</v>
      </c>
      <c r="D18" s="20">
        <v>1000</v>
      </c>
      <c r="E18" s="20">
        <v>1000</v>
      </c>
      <c r="F18" s="20">
        <v>1000</v>
      </c>
      <c r="G18" s="20">
        <v>1000</v>
      </c>
      <c r="H18" s="20">
        <v>1000</v>
      </c>
      <c r="I18" s="20">
        <v>1000</v>
      </c>
      <c r="J18" s="20">
        <v>1000</v>
      </c>
      <c r="K18" s="20">
        <v>1000</v>
      </c>
      <c r="L18" s="20">
        <v>1000</v>
      </c>
      <c r="M18" s="20">
        <v>1000</v>
      </c>
      <c r="N18" s="20">
        <v>1000</v>
      </c>
      <c r="O18" s="20">
        <v>1000</v>
      </c>
      <c r="P18" s="20">
        <f t="shared" si="0"/>
        <v>12000</v>
      </c>
      <c r="Q18" s="20">
        <f t="shared" si="1"/>
        <v>1000</v>
      </c>
      <c r="R18" s="21">
        <f>Q18/P5*100</f>
        <v>0.34052213393870601</v>
      </c>
    </row>
    <row r="19" spans="1:98" x14ac:dyDescent="0.25">
      <c r="A19" s="18" t="s">
        <v>87</v>
      </c>
      <c r="B19" s="19" t="s">
        <v>12</v>
      </c>
      <c r="C19" s="1" t="s">
        <v>25</v>
      </c>
      <c r="D19" s="20">
        <v>3500</v>
      </c>
      <c r="E19" s="20">
        <v>3500</v>
      </c>
      <c r="F19" s="20">
        <v>3500</v>
      </c>
      <c r="G19" s="20"/>
      <c r="H19" s="20">
        <v>3500</v>
      </c>
      <c r="I19" s="20">
        <v>3500</v>
      </c>
      <c r="J19" s="20">
        <v>3500</v>
      </c>
      <c r="K19" s="20">
        <v>3500</v>
      </c>
      <c r="L19" s="20">
        <v>3500</v>
      </c>
      <c r="M19" s="20">
        <v>3500</v>
      </c>
      <c r="N19" s="20">
        <v>3500</v>
      </c>
      <c r="O19" s="20">
        <v>3500</v>
      </c>
      <c r="P19" s="20">
        <f t="shared" si="0"/>
        <v>38500</v>
      </c>
      <c r="Q19" s="20">
        <f t="shared" si="1"/>
        <v>3208.3333333333335</v>
      </c>
      <c r="R19" s="21">
        <f>Q19/P5*100</f>
        <v>1.0925085130533485</v>
      </c>
    </row>
    <row r="20" spans="1:98" x14ac:dyDescent="0.25">
      <c r="A20" s="18" t="s">
        <v>101</v>
      </c>
      <c r="B20" s="19" t="s">
        <v>13</v>
      </c>
      <c r="C20" s="1" t="s">
        <v>25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>
        <f t="shared" si="0"/>
        <v>0</v>
      </c>
      <c r="Q20" s="20">
        <f t="shared" si="1"/>
        <v>0</v>
      </c>
      <c r="R20" s="21">
        <f>Q20/P5*100</f>
        <v>0</v>
      </c>
    </row>
    <row r="21" spans="1:98" x14ac:dyDescent="0.25">
      <c r="A21" s="23" t="s">
        <v>88</v>
      </c>
      <c r="B21" s="19" t="s">
        <v>100</v>
      </c>
      <c r="C21" s="1" t="s">
        <v>26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>
        <f t="shared" si="0"/>
        <v>0</v>
      </c>
      <c r="Q21" s="20">
        <f t="shared" si="1"/>
        <v>0</v>
      </c>
      <c r="R21" s="21">
        <f>Q21/P5*100</f>
        <v>0</v>
      </c>
    </row>
    <row r="22" spans="1:98" x14ac:dyDescent="0.25">
      <c r="A22" s="23"/>
      <c r="B22" s="19" t="s">
        <v>97</v>
      </c>
      <c r="C22" s="1" t="s">
        <v>79</v>
      </c>
      <c r="D22" s="20">
        <v>3000</v>
      </c>
      <c r="E22" s="20">
        <v>3000</v>
      </c>
      <c r="F22" s="20">
        <v>3000</v>
      </c>
      <c r="G22" s="20"/>
      <c r="H22" s="20">
        <v>3000</v>
      </c>
      <c r="I22" s="20">
        <v>3000</v>
      </c>
      <c r="J22" s="20">
        <v>3000</v>
      </c>
      <c r="K22" s="20">
        <v>3000</v>
      </c>
      <c r="L22" s="20">
        <v>3000</v>
      </c>
      <c r="M22" s="20">
        <v>3000</v>
      </c>
      <c r="N22" s="20">
        <v>3000</v>
      </c>
      <c r="O22" s="20">
        <v>3000</v>
      </c>
      <c r="P22" s="20">
        <f>SUM(D22:O22)</f>
        <v>33000</v>
      </c>
      <c r="Q22" s="20">
        <f t="shared" si="1"/>
        <v>2750</v>
      </c>
      <c r="R22" s="21">
        <f>Q22/P5*100</f>
        <v>0.93643586833144155</v>
      </c>
    </row>
    <row r="23" spans="1:98" x14ac:dyDescent="0.25">
      <c r="A23" s="18" t="s">
        <v>95</v>
      </c>
      <c r="B23" s="19" t="s">
        <v>15</v>
      </c>
      <c r="C23" s="1" t="s">
        <v>79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>
        <v>0</v>
      </c>
      <c r="P23" s="20">
        <f t="shared" si="0"/>
        <v>0</v>
      </c>
      <c r="Q23" s="20">
        <f t="shared" si="1"/>
        <v>0</v>
      </c>
      <c r="R23" s="21">
        <f>Q23/P5*100</f>
        <v>0</v>
      </c>
    </row>
    <row r="24" spans="1:98" x14ac:dyDescent="0.25">
      <c r="A24" s="18"/>
      <c r="B24" s="19" t="s">
        <v>78</v>
      </c>
      <c r="C24" s="1" t="s">
        <v>79</v>
      </c>
      <c r="D24" s="20"/>
      <c r="E24" s="20"/>
      <c r="F24" s="20"/>
      <c r="G24" s="36">
        <v>50000</v>
      </c>
      <c r="H24" s="36">
        <v>0</v>
      </c>
      <c r="I24" s="36">
        <v>50000</v>
      </c>
      <c r="J24" s="36">
        <v>0</v>
      </c>
      <c r="K24" s="20">
        <v>20000</v>
      </c>
      <c r="L24" s="20">
        <v>20000</v>
      </c>
      <c r="M24" s="20">
        <v>20000</v>
      </c>
      <c r="N24" s="20">
        <v>20000</v>
      </c>
      <c r="O24" s="20">
        <v>20000</v>
      </c>
      <c r="P24" s="20"/>
      <c r="Q24" s="20">
        <f>P24/10</f>
        <v>0</v>
      </c>
      <c r="R24" s="21">
        <f>Q24/P5*100</f>
        <v>0</v>
      </c>
    </row>
    <row r="25" spans="1:98" x14ac:dyDescent="0.25">
      <c r="A25" s="18" t="s">
        <v>94</v>
      </c>
      <c r="B25" s="19" t="s">
        <v>90</v>
      </c>
      <c r="C25" s="1" t="s">
        <v>79</v>
      </c>
      <c r="D25" s="20"/>
      <c r="E25" s="20"/>
      <c r="F25" s="20"/>
      <c r="G25" s="41" t="s">
        <v>103</v>
      </c>
      <c r="H25" s="42"/>
      <c r="I25" s="42"/>
      <c r="J25" s="43"/>
      <c r="K25" s="20"/>
      <c r="L25" s="20"/>
      <c r="M25" s="20"/>
      <c r="N25" s="20"/>
      <c r="O25" s="20"/>
      <c r="P25" s="20">
        <f>SUM(D25:O25)</f>
        <v>0</v>
      </c>
      <c r="Q25" s="20">
        <f>P25/10</f>
        <v>0</v>
      </c>
      <c r="R25" s="21">
        <f>Q25/P5*100</f>
        <v>0</v>
      </c>
    </row>
    <row r="26" spans="1:98" x14ac:dyDescent="0.25">
      <c r="A26" s="18" t="s">
        <v>91</v>
      </c>
      <c r="B26" s="19" t="s">
        <v>93</v>
      </c>
      <c r="C26" s="1" t="s">
        <v>79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</row>
    <row r="27" spans="1:98" x14ac:dyDescent="0.25">
      <c r="B27" s="2" t="s">
        <v>92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</row>
    <row r="28" spans="1:98" s="24" customFormat="1" ht="34.5" x14ac:dyDescent="0.25">
      <c r="B28" s="25" t="s">
        <v>16</v>
      </c>
      <c r="D28" s="26">
        <f t="shared" ref="D28:Q28" si="2">SUM(D12:D26)</f>
        <v>202600</v>
      </c>
      <c r="E28" s="26">
        <f t="shared" si="2"/>
        <v>202600</v>
      </c>
      <c r="F28" s="26">
        <f t="shared" si="2"/>
        <v>202600</v>
      </c>
      <c r="G28" s="26">
        <f t="shared" si="2"/>
        <v>236600</v>
      </c>
      <c r="H28" s="26">
        <f t="shared" si="2"/>
        <v>276500</v>
      </c>
      <c r="I28" s="26">
        <f t="shared" si="2"/>
        <v>255100</v>
      </c>
      <c r="J28" s="26">
        <f t="shared" si="2"/>
        <v>218100</v>
      </c>
      <c r="K28" s="26">
        <f t="shared" si="2"/>
        <v>230100</v>
      </c>
      <c r="L28" s="26">
        <f t="shared" si="2"/>
        <v>230100</v>
      </c>
      <c r="M28" s="26">
        <f t="shared" si="2"/>
        <v>295100</v>
      </c>
      <c r="N28" s="26">
        <f t="shared" si="2"/>
        <v>230100</v>
      </c>
      <c r="O28" s="26">
        <f t="shared" si="2"/>
        <v>230100</v>
      </c>
      <c r="P28" s="26">
        <f t="shared" si="2"/>
        <v>2495600</v>
      </c>
      <c r="Q28" s="26">
        <f t="shared" si="2"/>
        <v>207966.66666666669</v>
      </c>
      <c r="R28" s="27">
        <f>Q28/P5*100</f>
        <v>70.817253121452893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</row>
    <row r="29" spans="1:98" s="28" customFormat="1" x14ac:dyDescent="0.25">
      <c r="B29" s="29" t="s">
        <v>89</v>
      </c>
      <c r="D29" s="30"/>
      <c r="E29" s="20"/>
      <c r="F29" s="20"/>
      <c r="G29" s="44">
        <f t="shared" ref="G29:O29" si="3">F5-G28</f>
        <v>23400</v>
      </c>
      <c r="H29" s="44">
        <f t="shared" si="3"/>
        <v>-16500</v>
      </c>
      <c r="I29" s="45">
        <f t="shared" si="3"/>
        <v>64900</v>
      </c>
      <c r="J29" s="44">
        <f t="shared" si="3"/>
        <v>101900</v>
      </c>
      <c r="K29" s="44">
        <f t="shared" si="3"/>
        <v>89900</v>
      </c>
      <c r="L29" s="44">
        <f t="shared" si="3"/>
        <v>89900</v>
      </c>
      <c r="M29" s="44">
        <f t="shared" si="3"/>
        <v>24900</v>
      </c>
      <c r="N29" s="44">
        <f t="shared" si="3"/>
        <v>89900</v>
      </c>
      <c r="O29" s="44">
        <f t="shared" si="3"/>
        <v>89900</v>
      </c>
      <c r="P29" s="20"/>
      <c r="Q29" s="20"/>
      <c r="R29" s="27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</row>
    <row r="30" spans="1:98" s="31" customFormat="1" ht="18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</row>
    <row r="31" spans="1:98" s="28" customForma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</row>
    <row r="33" spans="1:98" s="32" customFormat="1" ht="37.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</row>
    <row r="34" spans="1:98" s="33" customForma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</row>
    <row r="35" spans="1:98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98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98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98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98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98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98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98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98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98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98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98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98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98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98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98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98" s="3" customForma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</row>
    <row r="79" spans="2:3" x14ac:dyDescent="0.25">
      <c r="B79" s="2" t="s">
        <v>17</v>
      </c>
    </row>
    <row r="80" spans="2:3" x14ac:dyDescent="0.25">
      <c r="B80" s="2" t="s">
        <v>18</v>
      </c>
      <c r="C80" s="1" t="s">
        <v>36</v>
      </c>
    </row>
    <row r="81" spans="2:5" x14ac:dyDescent="0.25">
      <c r="B81" s="2" t="s">
        <v>19</v>
      </c>
      <c r="C81" s="1" t="s">
        <v>37</v>
      </c>
    </row>
    <row r="82" spans="2:5" x14ac:dyDescent="0.25">
      <c r="B82" s="2" t="s">
        <v>20</v>
      </c>
      <c r="C82" s="1" t="s">
        <v>38</v>
      </c>
    </row>
    <row r="83" spans="2:5" x14ac:dyDescent="0.25">
      <c r="B83" s="2" t="s">
        <v>21</v>
      </c>
      <c r="C83" s="1" t="s">
        <v>39</v>
      </c>
    </row>
    <row r="85" spans="2:5" ht="34.5" x14ac:dyDescent="0.25">
      <c r="B85" s="2" t="s">
        <v>22</v>
      </c>
    </row>
    <row r="86" spans="2:5" x14ac:dyDescent="0.25">
      <c r="B86" s="2" t="s">
        <v>4</v>
      </c>
      <c r="C86" s="1" t="s">
        <v>40</v>
      </c>
      <c r="D86" s="1" t="s">
        <v>50</v>
      </c>
      <c r="E86" s="1" t="s">
        <v>61</v>
      </c>
    </row>
    <row r="87" spans="2:5" x14ac:dyDescent="0.25">
      <c r="B87" s="2" t="s">
        <v>5</v>
      </c>
      <c r="C87" s="1" t="s">
        <v>41</v>
      </c>
      <c r="D87" s="1" t="s">
        <v>51</v>
      </c>
      <c r="E87" s="1" t="s">
        <v>27</v>
      </c>
    </row>
    <row r="88" spans="2:5" x14ac:dyDescent="0.25">
      <c r="B88" s="2" t="s">
        <v>13</v>
      </c>
      <c r="C88" s="1" t="s">
        <v>42</v>
      </c>
      <c r="D88" s="1" t="s">
        <v>52</v>
      </c>
      <c r="E88" s="1" t="s">
        <v>34</v>
      </c>
    </row>
    <row r="89" spans="2:5" x14ac:dyDescent="0.25">
      <c r="B89" s="2" t="s">
        <v>15</v>
      </c>
      <c r="C89" s="1" t="s">
        <v>43</v>
      </c>
      <c r="D89" s="1" t="s">
        <v>53</v>
      </c>
      <c r="E89" s="1" t="s">
        <v>30</v>
      </c>
    </row>
    <row r="90" spans="2:5" x14ac:dyDescent="0.25">
      <c r="B90" s="2" t="s">
        <v>8</v>
      </c>
      <c r="C90" s="1" t="s">
        <v>43</v>
      </c>
      <c r="D90" s="1" t="s">
        <v>53</v>
      </c>
      <c r="E90" s="1" t="s">
        <v>30</v>
      </c>
    </row>
    <row r="91" spans="2:5" x14ac:dyDescent="0.25">
      <c r="B91" s="2" t="s">
        <v>7</v>
      </c>
      <c r="C91" s="1" t="s">
        <v>44</v>
      </c>
      <c r="D91" s="1" t="s">
        <v>54</v>
      </c>
      <c r="E91" s="1" t="s">
        <v>29</v>
      </c>
    </row>
    <row r="92" spans="2:5" x14ac:dyDescent="0.25">
      <c r="B92" s="2" t="s">
        <v>9</v>
      </c>
      <c r="C92" s="1" t="s">
        <v>44</v>
      </c>
      <c r="D92" s="1" t="s">
        <v>54</v>
      </c>
      <c r="E92" s="1" t="s">
        <v>29</v>
      </c>
    </row>
    <row r="93" spans="2:5" x14ac:dyDescent="0.25">
      <c r="B93" s="2" t="s">
        <v>6</v>
      </c>
      <c r="C93" s="1" t="s">
        <v>45</v>
      </c>
      <c r="D93" s="1" t="s">
        <v>55</v>
      </c>
      <c r="E93" s="1" t="s">
        <v>28</v>
      </c>
    </row>
    <row r="94" spans="2:5" x14ac:dyDescent="0.25">
      <c r="B94" s="2" t="s">
        <v>14</v>
      </c>
      <c r="C94" s="1" t="s">
        <v>46</v>
      </c>
      <c r="D94" s="1" t="s">
        <v>56</v>
      </c>
      <c r="E94" s="1" t="s">
        <v>35</v>
      </c>
    </row>
    <row r="95" spans="2:5" x14ac:dyDescent="0.25">
      <c r="B95" s="2" t="s">
        <v>12</v>
      </c>
      <c r="C95" s="1" t="s">
        <v>47</v>
      </c>
      <c r="D95" s="1" t="s">
        <v>57</v>
      </c>
      <c r="E95" s="1" t="s">
        <v>33</v>
      </c>
    </row>
    <row r="96" spans="2:5" x14ac:dyDescent="0.25">
      <c r="B96" s="2" t="s">
        <v>11</v>
      </c>
      <c r="C96" s="1" t="s">
        <v>29</v>
      </c>
      <c r="D96" s="1" t="s">
        <v>58</v>
      </c>
      <c r="E96" s="1" t="s">
        <v>32</v>
      </c>
    </row>
    <row r="97" spans="2:5" x14ac:dyDescent="0.25">
      <c r="B97" s="2" t="s">
        <v>10</v>
      </c>
      <c r="C97" s="1" t="s">
        <v>48</v>
      </c>
      <c r="D97" s="1" t="s">
        <v>59</v>
      </c>
      <c r="E97" s="1" t="s">
        <v>31</v>
      </c>
    </row>
  </sheetData>
  <mergeCells count="5">
    <mergeCell ref="B1:R1"/>
    <mergeCell ref="B10:R10"/>
    <mergeCell ref="A1:A9"/>
    <mergeCell ref="B2:R3"/>
    <mergeCell ref="G25:J25"/>
  </mergeCells>
  <pageMargins left="0.7" right="0.7" top="0.75" bottom="0.75" header="0.3" footer="0.3"/>
  <pageSetup orientation="portrait" verticalDpi="0" r:id="rId1"/>
  <headerFooter>
    <oddFooter xml:space="preserve">&amp;L_x000D_&amp;1#&amp;"Arial"&amp;11&amp;K000000 For Internal Use -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Expense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Rajput, Aashish</cp:lastModifiedBy>
  <dcterms:created xsi:type="dcterms:W3CDTF">2025-12-05T02:48:13Z</dcterms:created>
  <dcterms:modified xsi:type="dcterms:W3CDTF">2026-06-04T06:43:59Z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1bf161-408c-434f-9bf8-15603007fe6d_Enabled">
    <vt:lpwstr>true</vt:lpwstr>
  </property>
  <property fmtid="{D5CDD505-2E9C-101B-9397-08002B2CF9AE}" pid="3" name="MSIP_Label_101bf161-408c-434f-9bf8-15603007fe6d_SetDate">
    <vt:lpwstr>2025-12-05T02:48:57Z</vt:lpwstr>
  </property>
  <property fmtid="{D5CDD505-2E9C-101B-9397-08002B2CF9AE}" pid="4" name="MSIP_Label_101bf161-408c-434f-9bf8-15603007fe6d_Method">
    <vt:lpwstr>Standard</vt:lpwstr>
  </property>
  <property fmtid="{D5CDD505-2E9C-101B-9397-08002B2CF9AE}" pid="5" name="MSIP_Label_101bf161-408c-434f-9bf8-15603007fe6d_Name">
    <vt:lpwstr>Internal Use</vt:lpwstr>
  </property>
  <property fmtid="{D5CDD505-2E9C-101B-9397-08002B2CF9AE}" pid="6" name="MSIP_Label_101bf161-408c-434f-9bf8-15603007fe6d_SiteId">
    <vt:lpwstr>3d438f08-e047-4f9a-a191-69dd7cce14ea</vt:lpwstr>
  </property>
  <property fmtid="{D5CDD505-2E9C-101B-9397-08002B2CF9AE}" pid="7" name="MSIP_Label_101bf161-408c-434f-9bf8-15603007fe6d_ActionId">
    <vt:lpwstr>ed52167e-52c9-4b27-aec7-6b816f842880</vt:lpwstr>
  </property>
  <property fmtid="{D5CDD505-2E9C-101B-9397-08002B2CF9AE}" pid="8" name="MSIP_Label_101bf161-408c-434f-9bf8-15603007fe6d_ContentBits">
    <vt:lpwstr>2</vt:lpwstr>
  </property>
  <property fmtid="{D5CDD505-2E9C-101B-9397-08002B2CF9AE}" pid="9" name="MSIP_Label_101bf161-408c-434f-9bf8-15603007fe6d_Tag">
    <vt:lpwstr>10, 3, 0, 1</vt:lpwstr>
  </property>
</Properties>
</file>